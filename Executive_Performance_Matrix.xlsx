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nish\Downloads\"/>
    </mc:Choice>
  </mc:AlternateContent>
  <xr:revisionPtr revIDLastSave="0" documentId="8_{768729D8-708E-4939-935D-E76788532FBB}" xr6:coauthVersionLast="47" xr6:coauthVersionMax="47" xr10:uidLastSave="{00000000-0000-0000-0000-000000000000}"/>
  <bookViews>
    <workbookView xWindow="-108" yWindow="-108" windowWidth="23256" windowHeight="13176" tabRatio="672" activeTab="3" xr2:uid="{61F20C4C-1896-41FC-B98E-31A0BA57409B}"/>
  </bookViews>
  <sheets>
    <sheet name="Dim_Products" sheetId="1" r:id="rId1"/>
    <sheet name="Dim_Customers" sheetId="2" r:id="rId2"/>
    <sheet name="Fact_Sales" sheetId="3" r:id="rId3"/>
    <sheet name="Executive_Dashboard" sheetId="4" r:id="rId4"/>
    <sheet name="Pivot_Data" sheetId="5" r:id="rId5"/>
  </sheets>
  <definedNames>
    <definedName name="NativeTimeline_Order_Date">#N/A</definedName>
    <definedName name="Slicer_Category">#N/A</definedName>
    <definedName name="Slicer_Region_Zone">#N/A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3" l="1"/>
  <c r="M4" i="3"/>
  <c r="M5" i="3"/>
  <c r="M6" i="3"/>
  <c r="M2" i="3"/>
  <c r="K2" i="4"/>
  <c r="H2" i="4"/>
  <c r="E2" i="4"/>
  <c r="B2" i="4"/>
  <c r="L3" i="3"/>
  <c r="L4" i="3"/>
  <c r="L5" i="3"/>
  <c r="L6" i="3"/>
  <c r="K3" i="3"/>
  <c r="K4" i="3"/>
  <c r="K5" i="3"/>
  <c r="K6" i="3"/>
  <c r="J3" i="3"/>
  <c r="J4" i="3"/>
  <c r="J5" i="3"/>
  <c r="J6" i="3"/>
  <c r="I3" i="3"/>
  <c r="I4" i="3"/>
  <c r="I5" i="3"/>
  <c r="I6" i="3"/>
  <c r="H3" i="3"/>
  <c r="H4" i="3"/>
  <c r="H5" i="3"/>
  <c r="H6" i="3"/>
  <c r="G3" i="3"/>
  <c r="G4" i="3"/>
  <c r="G5" i="3"/>
  <c r="G6" i="3"/>
  <c r="I2" i="3"/>
  <c r="H2" i="3"/>
  <c r="J2" i="3" s="1"/>
  <c r="K2" i="3" s="1"/>
  <c r="G2" i="3"/>
  <c r="L2" i="3" l="1"/>
</calcChain>
</file>

<file path=xl/sharedStrings.xml><?xml version="1.0" encoding="utf-8"?>
<sst xmlns="http://schemas.openxmlformats.org/spreadsheetml/2006/main" count="98" uniqueCount="71">
  <si>
    <t>Product_ID</t>
  </si>
  <si>
    <t>Category</t>
  </si>
  <si>
    <t>Sub_Category</t>
  </si>
  <si>
    <t>Unit_Cost</t>
  </si>
  <si>
    <t>Unit_Price</t>
  </si>
  <si>
    <t>PROD-101</t>
  </si>
  <si>
    <t>Electronics</t>
  </si>
  <si>
    <t>Audio &amp; Sound</t>
  </si>
  <si>
    <t>PROD-102</t>
  </si>
  <si>
    <t>Mobile Accessories</t>
  </si>
  <si>
    <t>PROD-103</t>
  </si>
  <si>
    <t>Office Supply</t>
  </si>
  <si>
    <t>Ergonomic Chairs</t>
  </si>
  <si>
    <t>PROD-104</t>
  </si>
  <si>
    <t>Storage &amp; Organization</t>
  </si>
  <si>
    <t>PROD-105</t>
  </si>
  <si>
    <t>Home &amp; Kitchen</t>
  </si>
  <si>
    <t>Smart Lighting</t>
  </si>
  <si>
    <t>Customer_ID</t>
  </si>
  <si>
    <t>Customer_Name</t>
  </si>
  <si>
    <t>Region_Zone</t>
  </si>
  <si>
    <t>State</t>
  </si>
  <si>
    <t>Postal_Code</t>
  </si>
  <si>
    <t>CUST-501</t>
  </si>
  <si>
    <t>Acme Logistics</t>
  </si>
  <si>
    <t>North America - East</t>
  </si>
  <si>
    <t>NY</t>
  </si>
  <si>
    <t>CUST-502</t>
  </si>
  <si>
    <t>Nexus Global</t>
  </si>
  <si>
    <t>North America - West</t>
  </si>
  <si>
    <t>CA</t>
  </si>
  <si>
    <t>CUST-503</t>
  </si>
  <si>
    <t>Horizon Retail</t>
  </si>
  <si>
    <t>North America - South</t>
  </si>
  <si>
    <t>TX</t>
  </si>
  <si>
    <t>CUST-504</t>
  </si>
  <si>
    <t>Stellar Media</t>
  </si>
  <si>
    <t>Europe - Central</t>
  </si>
  <si>
    <t>DE</t>
  </si>
  <si>
    <t>CUST-505</t>
  </si>
  <si>
    <t>Pacific Rim Trading</t>
  </si>
  <si>
    <t>Asia - Pacific</t>
  </si>
  <si>
    <t>SG</t>
  </si>
  <si>
    <t xml:space="preserve">Order_ID </t>
  </si>
  <si>
    <t xml:space="preserve"> Order_Date </t>
  </si>
  <si>
    <t xml:space="preserve"> Customer_ID </t>
  </si>
  <si>
    <t xml:space="preserve"> Product_ID </t>
  </si>
  <si>
    <t xml:space="preserve"> Quantity </t>
  </si>
  <si>
    <t xml:space="preserve"> Discount_Pct </t>
  </si>
  <si>
    <t xml:space="preserve"> Category </t>
  </si>
  <si>
    <t xml:space="preserve"> Unit_Price </t>
  </si>
  <si>
    <t xml:space="preserve"> Unit_Cost </t>
  </si>
  <si>
    <t xml:space="preserve"> Gross_Revenue </t>
  </si>
  <si>
    <t xml:space="preserve"> Net_Revenue </t>
  </si>
  <si>
    <t xml:space="preserve"> Total_Profit</t>
  </si>
  <si>
    <t>ORD-9001</t>
  </si>
  <si>
    <t>ORD-9002</t>
  </si>
  <si>
    <t>ORD-9003</t>
  </si>
  <si>
    <t>ORD-9004</t>
  </si>
  <si>
    <t>ORD-9005</t>
  </si>
  <si>
    <t>TOTAL NET REVENUE</t>
  </si>
  <si>
    <t>TOTAL NET PROFIT</t>
  </si>
  <si>
    <t>AVERAGE ORDER VALUE</t>
  </si>
  <si>
    <t>TOTAL UNITS SOLD</t>
  </si>
  <si>
    <t xml:space="preserve">      </t>
  </si>
  <si>
    <t>Row Labels</t>
  </si>
  <si>
    <t>Grand Total</t>
  </si>
  <si>
    <t xml:space="preserve">Sum of  Net_Revenue </t>
  </si>
  <si>
    <t>Sum of  Total_Profit</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</si>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</sst>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6">
    <font>
      <sz val="11"/>
      <color theme="1"/>
      <name val="Aptos Narrow"/>
      <family val="2"/>
      <scheme val="minor"/>
    </font>
    <font>
      <sz val="11"/>
      <color rgb="FF1F1F1F"/>
      <name val="Arial"/>
      <family val="2"/>
    </font>
    <font>
      <b/>
      <sz val="11"/>
      <color rgb="FF1F1F1F"/>
      <name val="Arial"/>
      <family val="2"/>
    </font>
    <font>
      <sz val="10"/>
      <color theme="1"/>
      <name val="Arial Unicode MS"/>
    </font>
    <font>
      <sz val="11"/>
      <color rgb="FFB0BEC5"/>
      <name val="Aptos Narrow"/>
      <family val="2"/>
      <scheme val="minor"/>
    </font>
    <font>
      <sz val="11"/>
      <color rgb="FFFFFFFF"/>
      <name val="Aptos Narrow"/>
      <family val="2"/>
      <scheme val="minor"/>
    </font>
  </fonts>
  <fills count="4">
    <fill>
      <patternFill patternType="none"/>
    </fill>
    <fill>
      <patternFill patternType="gray125"/>
    </fill>
    <fill>
      <patternFill patternType="solid">
        <fgColor rgb="FF121212"/>
        <bgColor indexed="64"/>
      </patternFill>
    </fill>
    <fill>
      <patternFill patternType="solid">
        <fgColor rgb="FF1E1E1E"/>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0" xfId="0" applyFont="1"/>
    <xf numFmtId="14" fontId="0" fillId="0" borderId="0" xfId="0" applyNumberFormat="1"/>
    <xf numFmtId="0" fontId="0" fillId="2" borderId="0" xfId="0" applyFill="1"/>
    <xf numFmtId="0" fontId="4" fillId="3" borderId="0" xfId="0" applyFont="1" applyFill="1"/>
    <xf numFmtId="0" fontId="5" fillId="2" borderId="0" xfId="0" applyFont="1" applyFill="1"/>
    <xf numFmtId="169" fontId="5" fillId="3" borderId="0" xfId="0" applyNumberFormat="1" applyFont="1" applyFill="1" applyAlignment="1">
      <alignment horizontal="center"/>
    </xf>
    <xf numFmtId="0" fontId="5" fillId="3"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1E1E1E"/>
      <color rgb="FFFFFFFF"/>
      <color rgb="FFB0BEC5"/>
      <color rgb="FF1212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[3.1_Executive_Performance_Matrix.xlsx]Pivot_Data!PivotTable1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Revenue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c:f>
              <c:strCache>
                <c:ptCount val="1"/>
                <c:pt idx="0">
                  <c:v>Total</c:v>
                </c:pt>
              </c:strCache>
            </c:strRef>
          </c:tx>
          <c:spPr>
            <a:solidFill>
              <a:schemeClr val="accent1"/>
            </a:solidFill>
            <a:ln>
              <a:noFill/>
            </a:ln>
            <a:effectLst/>
          </c:spPr>
          <c:invertIfNegative val="0"/>
          <c:cat>
            <c:strRef>
              <c:f>Pivot_Data!$A$2:$A$5</c:f>
              <c:strCache>
                <c:ptCount val="3"/>
                <c:pt idx="0">
                  <c:v>Electronics</c:v>
                </c:pt>
                <c:pt idx="1">
                  <c:v>Home &amp; Kitchen</c:v>
                </c:pt>
                <c:pt idx="2">
                  <c:v>Office Supply</c:v>
                </c:pt>
              </c:strCache>
            </c:strRef>
          </c:cat>
          <c:val>
            <c:numRef>
              <c:f>Pivot_Data!$B$2:$B$5</c:f>
              <c:numCache>
                <c:formatCode>General</c:formatCode>
                <c:ptCount val="3"/>
                <c:pt idx="0">
                  <c:v>1625</c:v>
                </c:pt>
                <c:pt idx="1">
                  <c:v>741</c:v>
                </c:pt>
                <c:pt idx="2">
                  <c:v>2046</c:v>
                </c:pt>
              </c:numCache>
            </c:numRef>
          </c:val>
          <c:extLst>
            <c:ext xmlns:c16="http://schemas.microsoft.com/office/drawing/2014/chart" uri="{C3380CC4-5D6E-409C-BE32-E72D297353CC}">
              <c16:uniqueId val="{00000000-22D5-4DAB-9759-E0AE60B9345C}"/>
            </c:ext>
          </c:extLst>
        </c:ser>
        <c:dLbls>
          <c:showLegendKey val="0"/>
          <c:showVal val="0"/>
          <c:showCatName val="0"/>
          <c:showSerName val="0"/>
          <c:showPercent val="0"/>
          <c:showBubbleSize val="0"/>
        </c:dLbls>
        <c:gapWidth val="219"/>
        <c:overlap val="-27"/>
        <c:axId val="1982286303"/>
        <c:axId val="1897108591"/>
      </c:barChart>
      <c:catAx>
        <c:axId val="198228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108591"/>
        <c:crosses val="autoZero"/>
        <c:auto val="1"/>
        <c:lblAlgn val="ctr"/>
        <c:lblOffset val="100"/>
        <c:noMultiLvlLbl val="0"/>
      </c:catAx>
      <c:valAx>
        <c:axId val="189710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8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[3.1_Executive_Performance_Matrix.xlsx]Pivot_Data!PivotTable2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Performance &amp;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Pivot_Data!$F$1</c:f>
              <c:strCache>
                <c:ptCount val="1"/>
                <c:pt idx="0">
                  <c:v>Sum of  Net_Revenue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Pivot_Data!$E$2:$E$7</c:f>
              <c:strCache>
                <c:ptCount val="5"/>
                <c:pt idx="0">
                  <c:v>Asia - Pacific</c:v>
                </c:pt>
                <c:pt idx="1">
                  <c:v>Europe - Central</c:v>
                </c:pt>
                <c:pt idx="2">
                  <c:v>North America - East</c:v>
                </c:pt>
                <c:pt idx="3">
                  <c:v>North America - South</c:v>
                </c:pt>
                <c:pt idx="4">
                  <c:v>North America - West</c:v>
                </c:pt>
              </c:strCache>
            </c:strRef>
          </c:cat>
          <c:val>
            <c:numRef>
              <c:f>Pivot_Data!$F$2:$F$7</c:f>
              <c:numCache>
                <c:formatCode>General</c:formatCode>
                <c:ptCount val="5"/>
                <c:pt idx="0">
                  <c:v>741</c:v>
                </c:pt>
                <c:pt idx="1">
                  <c:v>750</c:v>
                </c:pt>
                <c:pt idx="2">
                  <c:v>950</c:v>
                </c:pt>
                <c:pt idx="3">
                  <c:v>1296</c:v>
                </c:pt>
                <c:pt idx="4">
                  <c:v>675</c:v>
                </c:pt>
              </c:numCache>
            </c:numRef>
          </c:val>
          <c:extLst>
            <c:ext xmlns:c16="http://schemas.microsoft.com/office/drawing/2014/chart" uri="{C3380CC4-5D6E-409C-BE32-E72D297353CC}">
              <c16:uniqueId val="{00000000-723A-4A7B-92B3-5A73CA040012}"/>
            </c:ext>
          </c:extLst>
        </c:ser>
        <c:ser>
          <c:idx val="1"/>
          <c:order val="1"/>
          <c:tx>
            <c:strRef>
              <c:f>Pivot_Data!$G$1</c:f>
              <c:strCache>
                <c:ptCount val="1"/>
                <c:pt idx="0">
                  <c:v>Sum of  Total_Profit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Pivot_Data!$E$2:$E$7</c:f>
              <c:strCache>
                <c:ptCount val="5"/>
                <c:pt idx="0">
                  <c:v>Asia - Pacific</c:v>
                </c:pt>
                <c:pt idx="1">
                  <c:v>Europe - Central</c:v>
                </c:pt>
                <c:pt idx="2">
                  <c:v>North America - East</c:v>
                </c:pt>
                <c:pt idx="3">
                  <c:v>North America - South</c:v>
                </c:pt>
                <c:pt idx="4">
                  <c:v>North America - West</c:v>
                </c:pt>
              </c:strCache>
            </c:strRef>
          </c:cat>
          <c:val>
            <c:numRef>
              <c:f>Pivot_Data!$G$2:$G$7</c:f>
              <c:numCache>
                <c:formatCode>General</c:formatCode>
                <c:ptCount val="5"/>
                <c:pt idx="0">
                  <c:v>441</c:v>
                </c:pt>
                <c:pt idx="1">
                  <c:v>450</c:v>
                </c:pt>
                <c:pt idx="2">
                  <c:v>470</c:v>
                </c:pt>
                <c:pt idx="3">
                  <c:v>616</c:v>
                </c:pt>
                <c:pt idx="4">
                  <c:v>450</c:v>
                </c:pt>
              </c:numCache>
            </c:numRef>
          </c:val>
          <c:extLst>
            <c:ext xmlns:c16="http://schemas.microsoft.com/office/drawing/2014/chart" uri="{C3380CC4-5D6E-409C-BE32-E72D297353CC}">
              <c16:uniqueId val="{00000001-723A-4A7B-92B3-5A73CA040012}"/>
            </c:ext>
          </c:extLst>
        </c:ser>
        <c:dLbls>
          <c:dLblPos val="outEnd"/>
          <c:showLegendKey val="0"/>
          <c:showVal val="1"/>
          <c:showCatName val="0"/>
          <c:showSerName val="0"/>
          <c:showPercent val="0"/>
          <c:showBubbleSize val="0"/>
        </c:dLbls>
        <c:gapWidth val="219"/>
        <c:overlap val="-27"/>
        <c:axId val="1984696399"/>
        <c:axId val="1038910799"/>
      </c:barChart>
      <c:catAx>
        <c:axId val="198469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910799"/>
        <c:crosses val="autoZero"/>
        <c:auto val="1"/>
        <c:lblAlgn val="ctr"/>
        <c:lblOffset val="100"/>
        <c:noMultiLvlLbl val="0"/>
      </c:catAx>
      <c:valAx>
        <c:axId val="103891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69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[3.1_Executive_Performance_Matrix.xlsx]Pivot_Data!PivotTable3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Pivot_Data!$J$1</c:f>
              <c:strCache>
                <c:ptCount val="1"/>
                <c:pt idx="0">
                  <c:v>Total</c:v>
                </c:pt>
              </c:strCache>
            </c:strRef>
          </c:tx>
          <c:spPr>
            <a:solidFill>
              <a:schemeClr val="accent1"/>
            </a:solidFill>
            <a:ln>
              <a:noFill/>
            </a:ln>
            <a:effectLst/>
          </c:spPr>
          <c:invertIfNegative val="0"/>
          <c:cat>
            <c:strRef>
              <c:f>Pivot_Data!$I$2:$I$4</c:f>
              <c:strCache>
                <c:ptCount val="2"/>
                <c:pt idx="0">
                  <c:v>Aug</c:v>
                </c:pt>
                <c:pt idx="1">
                  <c:v>Sep</c:v>
                </c:pt>
              </c:strCache>
            </c:strRef>
          </c:cat>
          <c:val>
            <c:numRef>
              <c:f>Pivot_Data!$J$2:$J$4</c:f>
              <c:numCache>
                <c:formatCode>General</c:formatCode>
                <c:ptCount val="2"/>
                <c:pt idx="0">
                  <c:v>1625</c:v>
                </c:pt>
                <c:pt idx="1">
                  <c:v>2787</c:v>
                </c:pt>
              </c:numCache>
            </c:numRef>
          </c:val>
          <c:extLst>
            <c:ext xmlns:c16="http://schemas.microsoft.com/office/drawing/2014/chart" uri="{C3380CC4-5D6E-409C-BE32-E72D297353CC}">
              <c16:uniqueId val="{00000000-BFA0-4991-A434-4A9886FD9833}"/>
            </c:ext>
          </c:extLst>
        </c:ser>
        <c:dLbls>
          <c:showLegendKey val="0"/>
          <c:showVal val="0"/>
          <c:showCatName val="0"/>
          <c:showSerName val="0"/>
          <c:showPercent val="0"/>
          <c:showBubbleSize val="0"/>
        </c:dLbls>
        <c:gapWidth val="219"/>
        <c:overlap val="-27"/>
        <c:axId val="1027336799"/>
        <c:axId val="1038910319"/>
      </c:barChart>
      <c:catAx>
        <c:axId val="102733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910319"/>
        <c:crosses val="autoZero"/>
        <c:auto val="1"/>
        <c:lblAlgn val="ctr"/>
        <c:lblOffset val="100"/>
        <c:noMultiLvlLbl val="0"/>
      </c:catAx>
      <c:valAx>
        <c:axId val="103891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33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3</xdr:col>
      <xdr:colOff>299012</xdr:colOff>
      <xdr:row>15</xdr:row>
      <xdr:rowOff>28937</xdr:rowOff>
    </xdr:to>
    <xdr:graphicFrame macro="">
      <xdr:nvGraphicFramePr>
        <xdr:cNvPr id="2" name="Chart 1">
          <a:extLst>
            <a:ext uri="{FF2B5EF4-FFF2-40B4-BE49-F238E27FC236}">
              <a16:creationId xmlns:a16="http://schemas.microsoft.com/office/drawing/2014/main" id="{584ACB9A-E086-4F53-A0B2-8A962226D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578733</xdr:colOff>
      <xdr:row>6</xdr:row>
      <xdr:rowOff>19290</xdr:rowOff>
    </xdr:from>
    <xdr:to>
      <xdr:col>8</xdr:col>
      <xdr:colOff>128299</xdr:colOff>
      <xdr:row>16</xdr:row>
      <xdr:rowOff>56846</xdr:rowOff>
    </xdr:to>
    <xdr:graphicFrame macro="">
      <xdr:nvGraphicFramePr>
        <xdr:cNvPr id="3" name="Chart 2">
          <a:extLst>
            <a:ext uri="{FF2B5EF4-FFF2-40B4-BE49-F238E27FC236}">
              <a16:creationId xmlns:a16="http://schemas.microsoft.com/office/drawing/2014/main" id="{962C2213-2FE7-4F6F-ADCB-F8BABD469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96456</xdr:rowOff>
    </xdr:from>
    <xdr:to>
      <xdr:col>3</xdr:col>
      <xdr:colOff>582055</xdr:colOff>
      <xdr:row>27</xdr:row>
      <xdr:rowOff>124078</xdr:rowOff>
    </xdr:to>
    <xdr:graphicFrame macro="">
      <xdr:nvGraphicFramePr>
        <xdr:cNvPr id="4" name="Chart 3">
          <a:extLst>
            <a:ext uri="{FF2B5EF4-FFF2-40B4-BE49-F238E27FC236}">
              <a16:creationId xmlns:a16="http://schemas.microsoft.com/office/drawing/2014/main" id="{8E74DAF3-9AF9-4723-B233-24C0EC13C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119026</xdr:colOff>
      <xdr:row>3</xdr:row>
      <xdr:rowOff>138413</xdr:rowOff>
    </xdr:from>
    <xdr:to>
      <xdr:col>15</xdr:col>
      <xdr:colOff>67519</xdr:colOff>
      <xdr:row>17</xdr:row>
      <xdr:rowOff>125392</xdr:rowOff>
    </xdr:to>
    <mc:AlternateContent xmlns:mc="http://schemas.openxmlformats.org/markup-compatibility/2006">
      <mc:Choice xmlns:a14="http://schemas.microsoft.com/office/drawing/2010/main" Requires="a14">
        <xdr:graphicFrame macro="">
          <xdr:nvGraphicFramePr>
            <xdr:cNvPr id="5" name=" Category ">
              <a:extLst>
                <a:ext uri="{FF2B5EF4-FFF2-40B4-BE49-F238E27FC236}">
                  <a16:creationId xmlns:a16="http://schemas.microsoft.com/office/drawing/2014/main" id="{86167CC2-56C1-00B7-7C40-2F58D78AB082}"/>
                </a:ext>
              </a:extLst>
            </xdr:cNvPr>
            <xdr:cNvGraphicFramePr/>
          </xdr:nvGraphicFramePr>
          <xdr:xfrm>
            <a:off x="0" y="0"/>
            <a:ext cx="0" cy="0"/>
          </xdr:xfrm>
          <a:graphic>
            <a:graphicData uri="http://schemas.microsoft.com/office/drawing/2010/slicer">
              <sle:slicer xmlns:sle="http://schemas.microsoft.com/office/drawing/2010/slicer" name=" Category "/>
            </a:graphicData>
          </a:graphic>
        </xdr:graphicFrame>
      </mc:Choice>
      <mc:Fallback>
        <xdr:sp macro="" textlink="">
          <xdr:nvSpPr>
            <xdr:cNvPr id="0" name=""/>
            <xdr:cNvSpPr>
              <a:spLocks noTextEdit="1"/>
            </xdr:cNvSpPr>
          </xdr:nvSpPr>
          <xdr:spPr>
            <a:xfrm>
              <a:off x="10208292" y="688210"/>
              <a:ext cx="1771505" cy="2552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599085</xdr:colOff>
      <xdr:row>3</xdr:row>
      <xdr:rowOff>126550</xdr:rowOff>
    </xdr:from>
    <xdr:to>
      <xdr:col>12</xdr:col>
      <xdr:colOff>6847</xdr:colOff>
      <xdr:row>17</xdr:row>
      <xdr:rowOff>142103</xdr:rowOff>
    </xdr:to>
    <mc:AlternateContent xmlns:mc="http://schemas.openxmlformats.org/markup-compatibility/2006">
      <mc:Choice xmlns:a14="http://schemas.microsoft.com/office/drawing/2010/main" Requires="a14">
        <xdr:graphicFrame macro="">
          <xdr:nvGraphicFramePr>
            <xdr:cNvPr id="6" name="Region_Zone">
              <a:extLst>
                <a:ext uri="{FF2B5EF4-FFF2-40B4-BE49-F238E27FC236}">
                  <a16:creationId xmlns:a16="http://schemas.microsoft.com/office/drawing/2014/main" id="{46360F2B-6A0F-A475-DE35-2D9DBD3E590D}"/>
                </a:ext>
              </a:extLst>
            </xdr:cNvPr>
            <xdr:cNvGraphicFramePr/>
          </xdr:nvGraphicFramePr>
          <xdr:xfrm>
            <a:off x="0" y="0"/>
            <a:ext cx="0" cy="0"/>
          </xdr:xfrm>
          <a:graphic>
            <a:graphicData uri="http://schemas.microsoft.com/office/drawing/2010/slicer">
              <sle:slicer xmlns:sle="http://schemas.microsoft.com/office/drawing/2010/slicer" name="Region_Zone"/>
            </a:graphicData>
          </a:graphic>
        </xdr:graphicFrame>
      </mc:Choice>
      <mc:Fallback>
        <xdr:sp macro="" textlink="">
          <xdr:nvSpPr>
            <xdr:cNvPr id="0" name=""/>
            <xdr:cNvSpPr>
              <a:spLocks noTextEdit="1"/>
            </xdr:cNvSpPr>
          </xdr:nvSpPr>
          <xdr:spPr>
            <a:xfrm>
              <a:off x="8267313" y="67634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148637</xdr:colOff>
      <xdr:row>18</xdr:row>
      <xdr:rowOff>88738</xdr:rowOff>
    </xdr:from>
    <xdr:to>
      <xdr:col>14</xdr:col>
      <xdr:colOff>457488</xdr:colOff>
      <xdr:row>25</xdr:row>
      <xdr:rowOff>177477</xdr:rowOff>
    </xdr:to>
    <mc:AlternateContent xmlns:mc="http://schemas.openxmlformats.org/markup-compatibility/2006">
      <mc:Choice xmlns:tsle="http://schemas.microsoft.com/office/drawing/2012/timeslicer" Requires="tsle">
        <xdr:graphicFrame macro="">
          <xdr:nvGraphicFramePr>
            <xdr:cNvPr id="7" name=" Order_Date ">
              <a:extLst>
                <a:ext uri="{FF2B5EF4-FFF2-40B4-BE49-F238E27FC236}">
                  <a16:creationId xmlns:a16="http://schemas.microsoft.com/office/drawing/2014/main" id="{FFF6290D-C6FF-495C-A3A5-7A42564A269C}"/>
                </a:ext>
              </a:extLst>
            </xdr:cNvPr>
            <xdr:cNvGraphicFramePr/>
          </xdr:nvGraphicFramePr>
          <xdr:xfrm>
            <a:off x="0" y="0"/>
            <a:ext cx="0" cy="0"/>
          </xdr:xfrm>
          <a:graphic>
            <a:graphicData uri="http://schemas.microsoft.com/office/drawing/2012/timeslicer">
              <tsle:timeslicer xmlns:tsle="http://schemas.microsoft.com/office/drawing/2012/timeslicer" name=" Order_Date "/>
            </a:graphicData>
          </a:graphic>
        </xdr:graphicFrame>
      </mc:Choice>
      <mc:Fallback>
        <xdr:sp macro="" textlink="">
          <xdr:nvSpPr>
            <xdr:cNvPr id="0" name=""/>
            <xdr:cNvSpPr>
              <a:spLocks noTextEdit="1"/>
            </xdr:cNvSpPr>
          </xdr:nvSpPr>
          <xdr:spPr>
            <a:xfrm>
              <a:off x="8424536" y="3387523"/>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 refreshedDate="46298.80920520833" createdVersion="8" refreshedVersion="8" minRefreshableVersion="3" recordCount="5" xr:uid="{F2AFF5D8-8848-44F6-A809-1125DE1EC24C}">
  <cacheSource type="worksheet">
    <worksheetSource ref="A1:M6" sheet="Fact_Sales"/>
  </cacheSource>
  <cacheFields count="15">
    <cacheField name="Order_ID " numFmtId="0">
      <sharedItems/>
    </cacheField>
    <cacheField name=" Order_Date " numFmtId="14">
      <sharedItems containsSemiMixedTypes="0" containsNonDate="0" containsDate="1" containsString="0" minDate="2026-08-15T00:00:00" maxDate="2026-09-29T00:00:00" count="5">
        <d v="2026-08-15T00:00:00"/>
        <d v="2026-08-18T00:00:00"/>
        <d v="2026-09-02T00:00:00"/>
        <d v="2026-09-14T00:00:00"/>
        <d v="2026-09-28T00:00:00"/>
      </sharedItems>
      <fieldGroup par="14"/>
    </cacheField>
    <cacheField name=" Customer_ID " numFmtId="0">
      <sharedItems/>
    </cacheField>
    <cacheField name=" Product_ID " numFmtId="0">
      <sharedItems/>
    </cacheField>
    <cacheField name=" Quantity " numFmtId="0">
      <sharedItems containsSemiMixedTypes="0" containsString="0" containsNumber="1" containsInteger="1" minValue="4" maxValue="25"/>
    </cacheField>
    <cacheField name=" Discount_Pct " numFmtId="0">
      <sharedItems containsSemiMixedTypes="0" containsString="0" containsNumber="1" minValue="0" maxValue="0.1"/>
    </cacheField>
    <cacheField name=" Category " numFmtId="0">
      <sharedItems count="3">
        <s v="Electronics"/>
        <s v="Office Supply"/>
        <s v="Home &amp; Kitchen"/>
      </sharedItems>
    </cacheField>
    <cacheField name=" Unit_Price " numFmtId="0">
      <sharedItems containsSemiMixedTypes="0" containsString="0" containsNumber="1" containsInteger="1" minValue="30" maxValue="250"/>
    </cacheField>
    <cacheField name=" Unit_Cost " numFmtId="0">
      <sharedItems containsSemiMixedTypes="0" containsString="0" containsNumber="1" containsInteger="1" minValue="12" maxValue="120"/>
    </cacheField>
    <cacheField name=" Gross_Revenue " numFmtId="0">
      <sharedItems containsSemiMixedTypes="0" containsString="0" containsNumber="1" containsInteger="1" minValue="675" maxValue="1440"/>
    </cacheField>
    <cacheField name=" Net_Revenue " numFmtId="0">
      <sharedItems containsSemiMixedTypes="0" containsString="0" containsNumber="1" containsInteger="1" minValue="675" maxValue="1296"/>
    </cacheField>
    <cacheField name=" Total_Profit" numFmtId="0">
      <sharedItems containsSemiMixedTypes="0" containsString="0" containsNumber="1" containsInteger="1" minValue="441" maxValue="616"/>
    </cacheField>
    <cacheField name="Region_Zone" numFmtId="0">
      <sharedItems count="5">
        <s v="North America - East"/>
        <s v="North America - West"/>
        <s v="North America - South"/>
        <s v="Europe - Central"/>
        <s v="Asia - Pacific"/>
      </sharedItems>
    </cacheField>
    <cacheField name="Days ( Order_Date )" numFmtId="0" databaseField="0">
      <fieldGroup base="1">
        <rangePr groupBy="days" startDate="2026-08-15T00:00:00" endDate="2026-09-29T00:00:00"/>
        <groupItems count="368">
          <s v="&lt;15-08-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9-2026"/>
        </groupItems>
      </fieldGroup>
    </cacheField>
    <cacheField name="Months ( Order_Date )" numFmtId="0" databaseField="0">
      <fieldGroup base="1">
        <rangePr groupBy="months" startDate="2026-08-15T00:00:00" endDate="2026-09-29T00:00:00"/>
        <groupItems count="14">
          <s v="&lt;15-08-2026"/>
          <s v="Jan"/>
          <s v="Feb"/>
          <s v="Mar"/>
          <s v="Apr"/>
          <s v="May"/>
          <s v="Jun"/>
          <s v="Jul"/>
          <s v="Aug"/>
          <s v="Sep"/>
          <s v="Oct"/>
          <s v="Nov"/>
          <s v="Dec"/>
          <s v="&gt;29-09-2026"/>
        </groupItems>
      </fieldGroup>
    </cacheField>
  </cacheFields>
  <extLst>
    <ext xmlns:x14="http://schemas.microsoft.com/office/spreadsheetml/2009/9/main" uri="{725AE2AE-9491-48be-B2B4-4EB974FC3084}">
      <x14:pivotCacheDefinition pivotCacheId="1384653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ORD-9001"/>
    <x v="0"/>
    <s v="CUST-501"/>
    <s v="PROD-101"/>
    <n v="4"/>
    <n v="0.05"/>
    <x v="0"/>
    <n v="250"/>
    <n v="120"/>
    <n v="1000"/>
    <n v="950"/>
    <n v="470"/>
    <x v="0"/>
  </r>
  <r>
    <s v="ORD-9002"/>
    <x v="1"/>
    <s v="CUST-502"/>
    <s v="PROD-102"/>
    <n v="15"/>
    <n v="0"/>
    <x v="0"/>
    <n v="45"/>
    <n v="15"/>
    <n v="675"/>
    <n v="675"/>
    <n v="450"/>
    <x v="1"/>
  </r>
  <r>
    <s v="ORD-9003"/>
    <x v="2"/>
    <s v="CUST-503"/>
    <s v="PROD-103"/>
    <n v="8"/>
    <n v="0.1"/>
    <x v="1"/>
    <n v="180"/>
    <n v="85"/>
    <n v="1440"/>
    <n v="1296"/>
    <n v="616"/>
    <x v="2"/>
  </r>
  <r>
    <s v="ORD-9004"/>
    <x v="3"/>
    <s v="CUST-504"/>
    <s v="PROD-104"/>
    <n v="25"/>
    <n v="0"/>
    <x v="1"/>
    <n v="30"/>
    <n v="12"/>
    <n v="750"/>
    <n v="750"/>
    <n v="450"/>
    <x v="3"/>
  </r>
  <r>
    <s v="ORD-9005"/>
    <x v="4"/>
    <s v="CUST-505"/>
    <s v="PROD-105"/>
    <n v="12"/>
    <n v="0.05"/>
    <x v="2"/>
    <n v="65"/>
    <n v="25"/>
    <n v="780"/>
    <n v="741"/>
    <n v="44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20E2BE-D379-410E-AA7B-9AE3FE152108}"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1:J4" firstHeaderRow="1" firstDataRow="1" firstDataCol="1"/>
  <pivotFields count="15">
    <pivotField showAll="0"/>
    <pivotField axis="axisRow" numFmtId="14" showAll="0">
      <items count="6">
        <item x="0"/>
        <item x="1"/>
        <item x="2"/>
        <item x="3"/>
        <item x="4"/>
        <item t="default"/>
      </items>
    </pivotField>
    <pivotField showAll="0"/>
    <pivotField showAll="0"/>
    <pivotField showAll="0"/>
    <pivotField showAll="0"/>
    <pivotField showAll="0">
      <items count="4">
        <item x="0"/>
        <item x="2"/>
        <item x="1"/>
        <item t="default"/>
      </items>
    </pivotField>
    <pivotField showAll="0"/>
    <pivotField showAll="0"/>
    <pivotField showAll="0"/>
    <pivotField dataField="1" showAll="0"/>
    <pivotField showAll="0"/>
    <pivotField showAll="0">
      <items count="6">
        <item x="4"/>
        <item x="3"/>
        <item x="0"/>
        <item x="2"/>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3">
    <i>
      <x v="8"/>
    </i>
    <i>
      <x v="9"/>
    </i>
    <i t="grand">
      <x/>
    </i>
  </rowItems>
  <colItems count="1">
    <i/>
  </colItems>
  <dataFields count="1">
    <dataField name="Sum of  Net_Revenue "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42FBBF-EECA-42DC-9566-6F38EB2965F8}"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1:G7" firstHeaderRow="0" firstDataRow="1" firstDataCol="1"/>
  <pivotFields count="15">
    <pivotField showAll="0"/>
    <pivotField numFmtId="14" showAll="0">
      <items count="6">
        <item x="0"/>
        <item x="1"/>
        <item x="2"/>
        <item x="3"/>
        <item x="4"/>
        <item t="default"/>
      </items>
    </pivotField>
    <pivotField showAll="0"/>
    <pivotField showAll="0"/>
    <pivotField showAll="0"/>
    <pivotField showAll="0"/>
    <pivotField showAll="0">
      <items count="4">
        <item x="0"/>
        <item x="2"/>
        <item x="1"/>
        <item t="default"/>
      </items>
    </pivotField>
    <pivotField showAll="0"/>
    <pivotField showAll="0"/>
    <pivotField showAll="0"/>
    <pivotField dataField="1" showAll="0"/>
    <pivotField dataField="1" showAll="0"/>
    <pivotField axis="axisRow" showAll="0">
      <items count="6">
        <item x="4"/>
        <item x="3"/>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6">
    <i>
      <x/>
    </i>
    <i>
      <x v="1"/>
    </i>
    <i>
      <x v="2"/>
    </i>
    <i>
      <x v="3"/>
    </i>
    <i>
      <x v="4"/>
    </i>
    <i t="grand">
      <x/>
    </i>
  </rowItems>
  <colFields count="1">
    <field x="-2"/>
  </colFields>
  <colItems count="2">
    <i>
      <x/>
    </i>
    <i i="1">
      <x v="1"/>
    </i>
  </colItems>
  <dataFields count="2">
    <dataField name="Sum of  Net_Revenue " fld="10" baseField="0" baseItem="0"/>
    <dataField name="Sum of  Total_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8ACD9-2C89-4AC4-A2D3-EE4129052474}"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5" firstHeaderRow="1" firstDataRow="1" firstDataCol="1"/>
  <pivotFields count="15">
    <pivotField showAll="0"/>
    <pivotField numFmtId="14" showAll="0">
      <items count="6">
        <item x="0"/>
        <item x="1"/>
        <item x="2"/>
        <item x="3"/>
        <item x="4"/>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dataField="1" showAll="0"/>
    <pivotField showAll="0"/>
    <pivotField showAll="0">
      <items count="6">
        <item x="4"/>
        <item x="3"/>
        <item x="0"/>
        <item x="2"/>
        <item x="1"/>
        <item t="default"/>
      </items>
    </pivotField>
    <pivotField showAll="0"/>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Net_Revenue "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F4FFB7-AB31-47F6-9D12-A375ED1D3F01}" sourceName=" Category ">
  <pivotTables>
    <pivotTable tabId="5" name="PivotTable1"/>
    <pivotTable tabId="5" name="PivotTable2"/>
    <pivotTable tabId="5" name="PivotTable3"/>
  </pivotTables>
  <data>
    <tabular pivotCacheId="138465350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Zone" xr10:uid="{F3F45B86-3F2E-420A-8D59-55D5625A5B77}" sourceName="Region_Zone">
  <pivotTables>
    <pivotTable tabId="5" name="PivotTable1"/>
    <pivotTable tabId="5" name="PivotTable2"/>
    <pivotTable tabId="5" name="PivotTable3"/>
  </pivotTables>
  <data>
    <tabular pivotCacheId="1384653501">
      <items count="5">
        <i x="4" s="1"/>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ategory " xr10:uid="{29174329-1EDC-4B16-9D8C-4E349B5BF2AF}" cache="Slicer_Category" caption=" Category " rowHeight="247650"/>
  <slicer name="Region_Zone" xr10:uid="{B94AECC8-FF46-4C4B-AD88-4287B4092ED4}" cache="Slicer_Region_Zone" caption="Region_Zon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BB682A3-20A9-4A39-88CF-B2A7C4E90C9D}" sourceName=" Order_Date ">
  <pivotTables>
    <pivotTable tabId="5" name="PivotTable1"/>
    <pivotTable tabId="5" name="PivotTable2"/>
    <pivotTable tabId="5" name="PivotTable3"/>
  </pivotTables>
  <state minimalRefreshVersion="6" lastRefreshVersion="6" pivotCacheId="138465350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Order_Date " xr10:uid="{1C80634B-94A5-4B12-8FD8-E0B996737AD9}" cache="NativeTimeline_Order_Date" caption=" Order_Date " level="2" selectionLevel="2" scrollPosition="2026-05-18T00:00:00"/>
</timeline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07CF-2E33-49BA-9FB8-4AF0D769F9E3}">
  <dimension ref="A1:E6"/>
  <sheetViews>
    <sheetView workbookViewId="0">
      <selection activeCell="F4" sqref="F4"/>
    </sheetView>
  </sheetViews>
  <sheetFormatPr defaultRowHeight="14.4"/>
  <cols>
    <col min="1" max="1" width="16.33203125" customWidth="1"/>
    <col min="2" max="2" width="11.44140625" customWidth="1"/>
    <col min="3" max="3" width="16.109375" customWidth="1"/>
    <col min="4" max="4" width="13.6640625" customWidth="1"/>
    <col min="5" max="5" width="16.77734375" customWidth="1"/>
  </cols>
  <sheetData>
    <row r="1" spans="1:5" ht="15" thickBot="1">
      <c r="A1" s="1" t="s">
        <v>0</v>
      </c>
      <c r="B1" s="1" t="s">
        <v>1</v>
      </c>
      <c r="C1" s="1" t="s">
        <v>2</v>
      </c>
      <c r="D1" s="1" t="s">
        <v>3</v>
      </c>
      <c r="E1" s="1" t="s">
        <v>4</v>
      </c>
    </row>
    <row r="2" spans="1:5" ht="28.2" thickBot="1">
      <c r="A2" s="1" t="s">
        <v>5</v>
      </c>
      <c r="B2" s="2" t="s">
        <v>6</v>
      </c>
      <c r="C2" s="2" t="s">
        <v>7</v>
      </c>
      <c r="D2" s="2">
        <v>120</v>
      </c>
      <c r="E2" s="2">
        <v>250</v>
      </c>
    </row>
    <row r="3" spans="1:5" ht="28.2" thickBot="1">
      <c r="A3" s="1" t="s">
        <v>8</v>
      </c>
      <c r="B3" s="2" t="s">
        <v>6</v>
      </c>
      <c r="C3" s="2" t="s">
        <v>9</v>
      </c>
      <c r="D3" s="2">
        <v>15</v>
      </c>
      <c r="E3" s="2">
        <v>45</v>
      </c>
    </row>
    <row r="4" spans="1:5" ht="28.2" thickBot="1">
      <c r="A4" s="1" t="s">
        <v>10</v>
      </c>
      <c r="B4" s="2" t="s">
        <v>11</v>
      </c>
      <c r="C4" s="2" t="s">
        <v>12</v>
      </c>
      <c r="D4" s="2">
        <v>85</v>
      </c>
      <c r="E4" s="2">
        <v>180</v>
      </c>
    </row>
    <row r="5" spans="1:5" ht="28.2" thickBot="1">
      <c r="A5" s="1" t="s">
        <v>13</v>
      </c>
      <c r="B5" s="2" t="s">
        <v>11</v>
      </c>
      <c r="C5" s="2" t="s">
        <v>14</v>
      </c>
      <c r="D5" s="2">
        <v>12</v>
      </c>
      <c r="E5" s="2">
        <v>30</v>
      </c>
    </row>
    <row r="6" spans="1:5" ht="28.2" thickBot="1">
      <c r="A6" s="1" t="s">
        <v>15</v>
      </c>
      <c r="B6" s="2" t="s">
        <v>16</v>
      </c>
      <c r="C6" s="2" t="s">
        <v>17</v>
      </c>
      <c r="D6" s="2">
        <v>25</v>
      </c>
      <c r="E6" s="2">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A25E-E78E-45BE-AE09-23DC07B2184D}">
  <dimension ref="A1:E6"/>
  <sheetViews>
    <sheetView workbookViewId="0">
      <selection activeCell="A9" sqref="A9"/>
    </sheetView>
  </sheetViews>
  <sheetFormatPr defaultRowHeight="14.4"/>
  <cols>
    <col min="1" max="1" width="16.5546875" customWidth="1"/>
    <col min="2" max="2" width="19.77734375" customWidth="1"/>
    <col min="3" max="3" width="17" customWidth="1"/>
    <col min="5" max="5" width="14.5546875" customWidth="1"/>
  </cols>
  <sheetData>
    <row r="1" spans="1:5" ht="15" thickBot="1">
      <c r="A1" s="1" t="s">
        <v>18</v>
      </c>
      <c r="B1" s="1" t="s">
        <v>19</v>
      </c>
      <c r="C1" s="1" t="s">
        <v>20</v>
      </c>
      <c r="D1" s="1" t="s">
        <v>21</v>
      </c>
      <c r="E1" s="1" t="s">
        <v>22</v>
      </c>
    </row>
    <row r="2" spans="1:5" ht="28.2" thickBot="1">
      <c r="A2" s="1" t="s">
        <v>23</v>
      </c>
      <c r="B2" s="2" t="s">
        <v>24</v>
      </c>
      <c r="C2" s="2" t="s">
        <v>25</v>
      </c>
      <c r="D2" s="2" t="s">
        <v>26</v>
      </c>
      <c r="E2" s="2">
        <v>10001</v>
      </c>
    </row>
    <row r="3" spans="1:5" ht="28.2" thickBot="1">
      <c r="A3" s="1" t="s">
        <v>27</v>
      </c>
      <c r="B3" s="2" t="s">
        <v>28</v>
      </c>
      <c r="C3" s="2" t="s">
        <v>29</v>
      </c>
      <c r="D3" s="2" t="s">
        <v>30</v>
      </c>
      <c r="E3" s="2">
        <v>90210</v>
      </c>
    </row>
    <row r="4" spans="1:5" ht="28.2" thickBot="1">
      <c r="A4" s="1" t="s">
        <v>31</v>
      </c>
      <c r="B4" s="2" t="s">
        <v>32</v>
      </c>
      <c r="C4" s="2" t="s">
        <v>33</v>
      </c>
      <c r="D4" s="2" t="s">
        <v>34</v>
      </c>
      <c r="E4" s="2">
        <v>75001</v>
      </c>
    </row>
    <row r="5" spans="1:5" ht="15" thickBot="1">
      <c r="A5" s="1" t="s">
        <v>35</v>
      </c>
      <c r="B5" s="2" t="s">
        <v>36</v>
      </c>
      <c r="C5" s="2" t="s">
        <v>37</v>
      </c>
      <c r="D5" s="2" t="s">
        <v>38</v>
      </c>
      <c r="E5" s="2">
        <v>10115</v>
      </c>
    </row>
    <row r="6" spans="1:5" ht="15" thickBot="1">
      <c r="A6" s="1" t="s">
        <v>39</v>
      </c>
      <c r="B6" s="2" t="s">
        <v>40</v>
      </c>
      <c r="C6" s="2" t="s">
        <v>41</v>
      </c>
      <c r="D6" s="2" t="s">
        <v>42</v>
      </c>
      <c r="E6" s="2">
        <v>18989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54B9-6208-4E95-BFD0-5BB53B26FD65}">
  <dimension ref="A1:M6"/>
  <sheetViews>
    <sheetView workbookViewId="0">
      <selection activeCell="M2" sqref="M2:M6"/>
    </sheetView>
  </sheetViews>
  <sheetFormatPr defaultRowHeight="14.4"/>
  <cols>
    <col min="1" max="1" width="9.33203125" bestFit="1" customWidth="1"/>
    <col min="2" max="2" width="10.88671875" bestFit="1" customWidth="1"/>
    <col min="3" max="3" width="12" bestFit="1" customWidth="1"/>
    <col min="4" max="4" width="15.109375" bestFit="1" customWidth="1"/>
    <col min="5" max="5" width="8.33203125" bestFit="1" customWidth="1"/>
    <col min="6" max="6" width="12.21875" bestFit="1" customWidth="1"/>
    <col min="7" max="7" width="13.88671875" bestFit="1" customWidth="1"/>
    <col min="8" max="8" width="9.88671875" bestFit="1" customWidth="1"/>
    <col min="9" max="9" width="9.33203125" bestFit="1" customWidth="1"/>
    <col min="10" max="10" width="14.21875" bestFit="1" customWidth="1"/>
    <col min="11" max="11" width="12.21875" bestFit="1" customWidth="1"/>
    <col min="12" max="12" width="10.33203125" bestFit="1" customWidth="1"/>
    <col min="13" max="13" width="18.77734375" bestFit="1" customWidth="1"/>
  </cols>
  <sheetData>
    <row r="1" spans="1:13">
      <c r="A1" s="3" t="s">
        <v>43</v>
      </c>
      <c r="B1" t="s">
        <v>44</v>
      </c>
      <c r="C1" t="s">
        <v>45</v>
      </c>
      <c r="D1" t="s">
        <v>46</v>
      </c>
      <c r="E1" t="s">
        <v>47</v>
      </c>
      <c r="F1" t="s">
        <v>48</v>
      </c>
      <c r="G1" t="s">
        <v>49</v>
      </c>
      <c r="H1" t="s">
        <v>50</v>
      </c>
      <c r="I1" t="s">
        <v>51</v>
      </c>
      <c r="J1" t="s">
        <v>52</v>
      </c>
      <c r="K1" t="s">
        <v>53</v>
      </c>
      <c r="L1" t="s">
        <v>54</v>
      </c>
      <c r="M1" t="s">
        <v>20</v>
      </c>
    </row>
    <row r="2" spans="1:13">
      <c r="A2" t="s">
        <v>55</v>
      </c>
      <c r="B2" s="4">
        <v>46249</v>
      </c>
      <c r="C2" t="s">
        <v>23</v>
      </c>
      <c r="D2" t="s">
        <v>5</v>
      </c>
      <c r="E2">
        <v>4</v>
      </c>
      <c r="F2">
        <v>0.05</v>
      </c>
      <c r="G2" t="str">
        <f>_xlfn.XLOOKUP(D2, Dim_Products!A:A, Dim_Products!B:B, "Unknown")</f>
        <v>Electronics</v>
      </c>
      <c r="H2">
        <f>_xlfn.XLOOKUP(D2, Dim_Products!A:A, Dim_Products!E:E, 0)</f>
        <v>250</v>
      </c>
      <c r="I2">
        <f>_xlfn.XLOOKUP(D2, Dim_Products!A:A, Dim_Products!D:D, 0)</f>
        <v>120</v>
      </c>
      <c r="J2">
        <f>E2 * H2</f>
        <v>1000</v>
      </c>
      <c r="K2">
        <f>J2 * (1 - F2)</f>
        <v>950</v>
      </c>
      <c r="L2">
        <f>K2 - (E2 * I2)</f>
        <v>470</v>
      </c>
      <c r="M2" t="str">
        <f>_xlfn.XLOOKUP(C2, Dim_Customers!A:A, Dim_Customers!C:C, "Unknown")</f>
        <v>North America - East</v>
      </c>
    </row>
    <row r="3" spans="1:13">
      <c r="A3" t="s">
        <v>56</v>
      </c>
      <c r="B3" s="4">
        <v>46252</v>
      </c>
      <c r="C3" t="s">
        <v>27</v>
      </c>
      <c r="D3" t="s">
        <v>8</v>
      </c>
      <c r="E3">
        <v>15</v>
      </c>
      <c r="F3">
        <v>0</v>
      </c>
      <c r="G3" t="str">
        <f>_xlfn.XLOOKUP(D3, Dim_Products!A:A, Dim_Products!B:B, "Unknown")</f>
        <v>Electronics</v>
      </c>
      <c r="H3">
        <f>_xlfn.XLOOKUP(D3, Dim_Products!A:A, Dim_Products!E:E, 0)</f>
        <v>45</v>
      </c>
      <c r="I3">
        <f>_xlfn.XLOOKUP(D3, Dim_Products!A:A, Dim_Products!D:D, 0)</f>
        <v>15</v>
      </c>
      <c r="J3">
        <f t="shared" ref="J3:J6" si="0">E3 * H3</f>
        <v>675</v>
      </c>
      <c r="K3">
        <f t="shared" ref="K3:K6" si="1">J3 * (1 - F3)</f>
        <v>675</v>
      </c>
      <c r="L3">
        <f t="shared" ref="L3:L6" si="2">K3 - (E3 * I3)</f>
        <v>450</v>
      </c>
      <c r="M3" t="str">
        <f>_xlfn.XLOOKUP(C3, Dim_Customers!A:A, Dim_Customers!C:C, "Unknown")</f>
        <v>North America - West</v>
      </c>
    </row>
    <row r="4" spans="1:13">
      <c r="A4" t="s">
        <v>57</v>
      </c>
      <c r="B4" s="4">
        <v>46267</v>
      </c>
      <c r="C4" t="s">
        <v>31</v>
      </c>
      <c r="D4" t="s">
        <v>10</v>
      </c>
      <c r="E4">
        <v>8</v>
      </c>
      <c r="F4">
        <v>0.1</v>
      </c>
      <c r="G4" t="str">
        <f>_xlfn.XLOOKUP(D4, Dim_Products!A:A, Dim_Products!B:B, "Unknown")</f>
        <v>Office Supply</v>
      </c>
      <c r="H4">
        <f>_xlfn.XLOOKUP(D4, Dim_Products!A:A, Dim_Products!E:E, 0)</f>
        <v>180</v>
      </c>
      <c r="I4">
        <f>_xlfn.XLOOKUP(D4, Dim_Products!A:A, Dim_Products!D:D, 0)</f>
        <v>85</v>
      </c>
      <c r="J4">
        <f t="shared" si="0"/>
        <v>1440</v>
      </c>
      <c r="K4">
        <f t="shared" si="1"/>
        <v>1296</v>
      </c>
      <c r="L4">
        <f t="shared" si="2"/>
        <v>616</v>
      </c>
      <c r="M4" t="str">
        <f>_xlfn.XLOOKUP(C4, Dim_Customers!A:A, Dim_Customers!C:C, "Unknown")</f>
        <v>North America - South</v>
      </c>
    </row>
    <row r="5" spans="1:13">
      <c r="A5" t="s">
        <v>58</v>
      </c>
      <c r="B5" s="4">
        <v>46279</v>
      </c>
      <c r="C5" t="s">
        <v>35</v>
      </c>
      <c r="D5" t="s">
        <v>13</v>
      </c>
      <c r="E5">
        <v>25</v>
      </c>
      <c r="F5">
        <v>0</v>
      </c>
      <c r="G5" t="str">
        <f>_xlfn.XLOOKUP(D5, Dim_Products!A:A, Dim_Products!B:B, "Unknown")</f>
        <v>Office Supply</v>
      </c>
      <c r="H5">
        <f>_xlfn.XLOOKUP(D5, Dim_Products!A:A, Dim_Products!E:E, 0)</f>
        <v>30</v>
      </c>
      <c r="I5">
        <f>_xlfn.XLOOKUP(D5, Dim_Products!A:A, Dim_Products!D:D, 0)</f>
        <v>12</v>
      </c>
      <c r="J5">
        <f t="shared" si="0"/>
        <v>750</v>
      </c>
      <c r="K5">
        <f t="shared" si="1"/>
        <v>750</v>
      </c>
      <c r="L5">
        <f t="shared" si="2"/>
        <v>450</v>
      </c>
      <c r="M5" t="str">
        <f>_xlfn.XLOOKUP(C5, Dim_Customers!A:A, Dim_Customers!C:C, "Unknown")</f>
        <v>Europe - Central</v>
      </c>
    </row>
    <row r="6" spans="1:13">
      <c r="A6" t="s">
        <v>59</v>
      </c>
      <c r="B6" s="4">
        <v>46293</v>
      </c>
      <c r="C6" t="s">
        <v>39</v>
      </c>
      <c r="D6" t="s">
        <v>15</v>
      </c>
      <c r="E6">
        <v>12</v>
      </c>
      <c r="F6">
        <v>0.05</v>
      </c>
      <c r="G6" t="str">
        <f>_xlfn.XLOOKUP(D6, Dim_Products!A:A, Dim_Products!B:B, "Unknown")</f>
        <v>Home &amp; Kitchen</v>
      </c>
      <c r="H6">
        <f>_xlfn.XLOOKUP(D6, Dim_Products!A:A, Dim_Products!E:E, 0)</f>
        <v>65</v>
      </c>
      <c r="I6">
        <f>_xlfn.XLOOKUP(D6, Dim_Products!A:A, Dim_Products!D:D, 0)</f>
        <v>25</v>
      </c>
      <c r="J6">
        <f t="shared" si="0"/>
        <v>780</v>
      </c>
      <c r="K6">
        <f t="shared" si="1"/>
        <v>741</v>
      </c>
      <c r="L6">
        <f t="shared" si="2"/>
        <v>441</v>
      </c>
      <c r="M6" t="str">
        <f>_xlfn.XLOOKUP(C6, Dim_Customers!A:A, Dim_Customers!C:C, "Unknown")</f>
        <v>Asia - Pacific</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CD77-0CD2-4751-BAFB-AF3519C58B41}">
  <dimension ref="B1:L7"/>
  <sheetViews>
    <sheetView showGridLines="0" tabSelected="1" zoomScale="79" workbookViewId="0">
      <selection activeCell="P20" sqref="P20"/>
      <extLst>
        <ext xmlns:xlsdti="http://schemas.microsoft.com/office/spreadsheetml/2023/showDataTypeIcons" uri="{77bfe23e-c014-4d31-8a63-9c772dbf06b6}">
          <xlsdti:showDataTypeIcons visible="0"/>
        </ext>
      </extLst>
    </sheetView>
  </sheetViews>
  <sheetFormatPr defaultRowHeight="14.4"/>
  <cols>
    <col min="1" max="1" width="8.88671875" style="5"/>
    <col min="2" max="2" width="19.21875" style="5" bestFit="1" customWidth="1"/>
    <col min="3" max="4" width="8.88671875" style="5"/>
    <col min="5" max="5" width="17.109375" style="5" bestFit="1" customWidth="1"/>
    <col min="6" max="7" width="8.88671875" style="5"/>
    <col min="8" max="8" width="22.21875" style="5" bestFit="1" customWidth="1"/>
    <col min="9" max="10" width="8.88671875" style="5"/>
    <col min="11" max="11" width="17.5546875" style="5" bestFit="1" customWidth="1"/>
    <col min="12" max="16384" width="8.88671875" style="5"/>
  </cols>
  <sheetData>
    <row r="1" spans="2:12">
      <c r="B1" s="6" t="s">
        <v>60</v>
      </c>
      <c r="E1" s="6" t="s">
        <v>61</v>
      </c>
      <c r="H1" s="6" t="s">
        <v>62</v>
      </c>
      <c r="K1" s="6" t="s">
        <v>63</v>
      </c>
    </row>
    <row r="2" spans="2:12">
      <c r="B2" s="8">
        <f>SUM(Fact_Sales!K2:K6)</f>
        <v>4412</v>
      </c>
      <c r="C2" s="8"/>
      <c r="E2" s="8">
        <f>SUM(Fact_Sales!L2:L6)</f>
        <v>2427</v>
      </c>
      <c r="F2" s="8"/>
      <c r="H2" s="8">
        <f>AVERAGE(Fact_Sales!K2:K6)</f>
        <v>882.4</v>
      </c>
      <c r="I2" s="8"/>
      <c r="K2" s="9">
        <f>SUM(Fact_Sales!E2:E6)</f>
        <v>64</v>
      </c>
      <c r="L2" s="9"/>
    </row>
    <row r="3" spans="2:12">
      <c r="B3" s="8"/>
      <c r="C3" s="8"/>
      <c r="E3" s="8"/>
      <c r="F3" s="8"/>
      <c r="H3" s="8"/>
      <c r="I3" s="8"/>
      <c r="K3" s="9"/>
      <c r="L3" s="9"/>
    </row>
    <row r="4" spans="2:12">
      <c r="G4" s="7"/>
    </row>
    <row r="7" spans="2:12">
      <c r="H7" s="5" t="s">
        <v>64</v>
      </c>
    </row>
  </sheetData>
  <mergeCells count="4">
    <mergeCell ref="B2:C3"/>
    <mergeCell ref="E2:F3"/>
    <mergeCell ref="H2:I3"/>
    <mergeCell ref="K2:L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0D3C-8C74-425A-B939-26342BFA3ACE}">
  <dimension ref="A1:J7"/>
  <sheetViews>
    <sheetView workbookViewId="0">
      <selection sqref="A1:B5"/>
    </sheetView>
  </sheetViews>
  <sheetFormatPr defaultRowHeight="14.4"/>
  <cols>
    <col min="1" max="1" width="13.88671875" bestFit="1" customWidth="1"/>
    <col min="2" max="2" width="18.6640625" bestFit="1" customWidth="1"/>
    <col min="5" max="5" width="18.77734375" bestFit="1" customWidth="1"/>
    <col min="6" max="6" width="18.6640625" bestFit="1" customWidth="1"/>
    <col min="7" max="7" width="16.88671875" bestFit="1" customWidth="1"/>
    <col min="9" max="9" width="12.44140625" bestFit="1" customWidth="1"/>
    <col min="10" max="10" width="18.6640625" bestFit="1" customWidth="1"/>
  </cols>
  <sheetData>
    <row r="1" spans="1:10">
      <c r="A1" s="10" t="s">
        <v>65</v>
      </c>
      <c r="B1" t="s">
        <v>67</v>
      </c>
      <c r="E1" s="10" t="s">
        <v>65</v>
      </c>
      <c r="F1" t="s">
        <v>67</v>
      </c>
      <c r="G1" t="s">
        <v>68</v>
      </c>
      <c r="I1" s="10" t="s">
        <v>65</v>
      </c>
      <c r="J1" t="s">
        <v>67</v>
      </c>
    </row>
    <row r="2" spans="1:10">
      <c r="A2" s="11" t="s">
        <v>6</v>
      </c>
      <c r="B2" s="12">
        <v>1625</v>
      </c>
      <c r="E2" s="11" t="s">
        <v>41</v>
      </c>
      <c r="F2" s="12">
        <v>741</v>
      </c>
      <c r="G2" s="12">
        <v>441</v>
      </c>
      <c r="I2" s="11" t="s">
        <v>69</v>
      </c>
      <c r="J2" s="12">
        <v>1625</v>
      </c>
    </row>
    <row r="3" spans="1:10">
      <c r="A3" s="11" t="s">
        <v>16</v>
      </c>
      <c r="B3" s="12">
        <v>741</v>
      </c>
      <c r="E3" s="11" t="s">
        <v>37</v>
      </c>
      <c r="F3" s="12">
        <v>750</v>
      </c>
      <c r="G3" s="12">
        <v>450</v>
      </c>
      <c r="I3" s="11" t="s">
        <v>70</v>
      </c>
      <c r="J3" s="12">
        <v>2787</v>
      </c>
    </row>
    <row r="4" spans="1:10">
      <c r="A4" s="11" t="s">
        <v>11</v>
      </c>
      <c r="B4" s="12">
        <v>2046</v>
      </c>
      <c r="E4" s="11" t="s">
        <v>25</v>
      </c>
      <c r="F4" s="12">
        <v>950</v>
      </c>
      <c r="G4" s="12">
        <v>470</v>
      </c>
      <c r="I4" s="11" t="s">
        <v>66</v>
      </c>
      <c r="J4" s="12">
        <v>4412</v>
      </c>
    </row>
    <row r="5" spans="1:10">
      <c r="A5" s="11" t="s">
        <v>66</v>
      </c>
      <c r="B5" s="12">
        <v>4412</v>
      </c>
      <c r="E5" s="11" t="s">
        <v>33</v>
      </c>
      <c r="F5" s="12">
        <v>1296</v>
      </c>
      <c r="G5" s="12">
        <v>616</v>
      </c>
    </row>
    <row r="6" spans="1:10">
      <c r="E6" s="11" t="s">
        <v>29</v>
      </c>
      <c r="F6" s="12">
        <v>675</v>
      </c>
      <c r="G6" s="12">
        <v>450</v>
      </c>
    </row>
    <row r="7" spans="1:10">
      <c r="E7" s="11" t="s">
        <v>66</v>
      </c>
      <c r="F7" s="12">
        <v>4412</v>
      </c>
      <c r="G7" s="12">
        <v>2427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Dim_Products</vt:lpstr>
      <vt:lpstr>Dim_Customers</vt:lpstr>
      <vt:lpstr>Fact_Sales</vt:lpstr>
      <vt:lpstr>Executive_Dashboard</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 Anish</dc:creator>
  <cp:lastModifiedBy>Anish Anish</cp:lastModifiedBy>
  <dcterms:created xsi:type="dcterms:W3CDTF">2026-10-03T00:35:24Z</dcterms:created>
  <dcterms:modified xsi:type="dcterms:W3CDTF">2026-10-03T14:43:42Z</dcterms:modified>
</cp:coreProperties>
</file>